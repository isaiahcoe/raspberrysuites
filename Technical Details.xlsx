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\Desktop\Networking\Projects\Hotel Project\"/>
    </mc:Choice>
  </mc:AlternateContent>
  <xr:revisionPtr revIDLastSave="0" documentId="13_ncr:1_{2796722C-21F9-4BDE-ADA4-30D6CBABA636}" xr6:coauthVersionLast="47" xr6:coauthVersionMax="47" xr10:uidLastSave="{00000000-0000-0000-0000-000000000000}"/>
  <bookViews>
    <workbookView xWindow="-120" yWindow="-120" windowWidth="27645" windowHeight="16440" activeTab="3" xr2:uid="{6D5DBC97-D044-4172-9480-22C9F893643A}"/>
  </bookViews>
  <sheets>
    <sheet name="Networking Devices " sheetId="7" r:id="rId1"/>
    <sheet name="Vlans " sheetId="8" r:id="rId2"/>
    <sheet name="Server Applications" sheetId="3" r:id="rId3"/>
    <sheet name="Physical Devices &amp; Cables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5" l="1"/>
  <c r="L2" i="5" s="1"/>
  <c r="I7" i="5"/>
  <c r="I5" i="5"/>
  <c r="I2" i="5"/>
</calcChain>
</file>

<file path=xl/sharedStrings.xml><?xml version="1.0" encoding="utf-8"?>
<sst xmlns="http://schemas.openxmlformats.org/spreadsheetml/2006/main" count="398" uniqueCount="166">
  <si>
    <t>Run DHCP</t>
  </si>
  <si>
    <t>Run DNS</t>
  </si>
  <si>
    <t>Run VPN</t>
  </si>
  <si>
    <t>Run Network Montoring</t>
  </si>
  <si>
    <t>Store buisness information</t>
  </si>
  <si>
    <t xml:space="preserve">Store camera footage </t>
  </si>
  <si>
    <t xml:space="preserve">Conntacted to azure for data backup </t>
  </si>
  <si>
    <t xml:space="preserve">Configured with RDP for remote management </t>
  </si>
  <si>
    <t>IP Phones</t>
  </si>
  <si>
    <t>Guest Lines</t>
  </si>
  <si>
    <t>Backup Ports</t>
  </si>
  <si>
    <t>IoT TV's</t>
  </si>
  <si>
    <t>Cameras</t>
  </si>
  <si>
    <t>WAPS</t>
  </si>
  <si>
    <t>PCS</t>
  </si>
  <si>
    <t>Server</t>
  </si>
  <si>
    <t>Windows 2019 Server</t>
  </si>
  <si>
    <t xml:space="preserve">Server Log Info </t>
  </si>
  <si>
    <t>Username</t>
  </si>
  <si>
    <t xml:space="preserve">Password </t>
  </si>
  <si>
    <t>CAT 7 or 8 POE</t>
  </si>
  <si>
    <t xml:space="preserve">Physical Devices &amp; Cables </t>
  </si>
  <si>
    <t xml:space="preserve">Number of Devices </t>
  </si>
  <si>
    <t>N/A</t>
  </si>
  <si>
    <t xml:space="preserve">Link To Device </t>
  </si>
  <si>
    <t>REFURBISHED Cisco CP-8845-K9 Desktop Gigabit IP Video Phone 8845 882658845482 | eBay</t>
  </si>
  <si>
    <t>Technical Details</t>
  </si>
  <si>
    <t>Cisco IP Phone 8845 Data Sheet - Cisco</t>
  </si>
  <si>
    <t>ID Name of Device</t>
  </si>
  <si>
    <t>Cisco CP-8845-K9</t>
  </si>
  <si>
    <t>Device Manaul</t>
  </si>
  <si>
    <t>Device Warranty</t>
  </si>
  <si>
    <t>Cost per Device</t>
  </si>
  <si>
    <t>Toshiba 43-inch Smart TV Fire TV Edition (2020) (amazon.com)</t>
  </si>
  <si>
    <t>Toshiba 43LF421U21 43-inch</t>
  </si>
  <si>
    <t xml:space="preserve">Total Cost of Devices </t>
  </si>
  <si>
    <t>Estimated Total Cost of All Devices</t>
  </si>
  <si>
    <t>Cisco AIR-CAP3702E-A-K9 Aironet 3700 Series 1.3 Gbps POE WAP External Antennas | eBay</t>
  </si>
  <si>
    <t>Cisco Aironet 3700 Series Access Points Data Sheet - Cisco</t>
  </si>
  <si>
    <t xml:space="preserve">Cisco AIR-CAP3702E-A-K9 Aironet </t>
  </si>
  <si>
    <t>PowerEdge R740xd Rack Server | Dell USA</t>
  </si>
  <si>
    <t>Dell EMC PowerEdge R740</t>
  </si>
  <si>
    <t>poweredgespecsheet.pdf (dell.com)</t>
  </si>
  <si>
    <t>https://i.dell.com/sites/csdocuments/Shared-Content_data-Sheets_Documents/en/aa/PowerEdge_R740_R740xd_Technical_Guide.pdf</t>
  </si>
  <si>
    <t>Who is responsible for this sheet?</t>
  </si>
  <si>
    <t>System Admin &amp; Network Engineer</t>
  </si>
  <si>
    <t>Network Engineer, Acquisition Manager, Accountant, Sys Admin</t>
  </si>
  <si>
    <t xml:space="preserve">Device Name </t>
  </si>
  <si>
    <t>Location</t>
  </si>
  <si>
    <t>Model</t>
  </si>
  <si>
    <t>MAC</t>
  </si>
  <si>
    <t xml:space="preserve">Cost </t>
  </si>
  <si>
    <t xml:space="preserve">HQ </t>
  </si>
  <si>
    <t>Type</t>
  </si>
  <si>
    <t xml:space="preserve">HQ Router </t>
  </si>
  <si>
    <t>Router</t>
  </si>
  <si>
    <t>ISR4331</t>
  </si>
  <si>
    <t>Public IP</t>
  </si>
  <si>
    <t>Private IP</t>
  </si>
  <si>
    <t>10.0.0.2</t>
  </si>
  <si>
    <t>130.1.0.2</t>
  </si>
  <si>
    <t>Switch</t>
  </si>
  <si>
    <t>2950-24</t>
  </si>
  <si>
    <t>HQ Access Switch</t>
  </si>
  <si>
    <t xml:space="preserve">HQ DHCP Server </t>
  </si>
  <si>
    <t>00D0.5878.2306</t>
  </si>
  <si>
    <t>10.0.128.3</t>
  </si>
  <si>
    <t>NY</t>
  </si>
  <si>
    <t>NY Router</t>
  </si>
  <si>
    <t xml:space="preserve">NY Distro Switch </t>
  </si>
  <si>
    <t xml:space="preserve">HQ Ditro Switch </t>
  </si>
  <si>
    <t xml:space="preserve">NY Access Switch 1 </t>
  </si>
  <si>
    <t>NY Access Switch 2</t>
  </si>
  <si>
    <t>NY Access Switch 3</t>
  </si>
  <si>
    <t xml:space="preserve">NY DHCP Server </t>
  </si>
  <si>
    <t xml:space="preserve">NY WLC </t>
  </si>
  <si>
    <t>NY AP1</t>
  </si>
  <si>
    <t>NY AP2</t>
  </si>
  <si>
    <t>NY AP3</t>
  </si>
  <si>
    <t>WLC</t>
  </si>
  <si>
    <t xml:space="preserve">Server </t>
  </si>
  <si>
    <t>AP</t>
  </si>
  <si>
    <t>2960-24TT</t>
  </si>
  <si>
    <t>Florida Router 1</t>
  </si>
  <si>
    <t>Florida Router 2</t>
  </si>
  <si>
    <t>Florida Core Switch 1</t>
  </si>
  <si>
    <t xml:space="preserve">Florida Core Switch 2 </t>
  </si>
  <si>
    <t>FLAC1</t>
  </si>
  <si>
    <t>FLAC2</t>
  </si>
  <si>
    <t>FLAC3</t>
  </si>
  <si>
    <t>FL WLC</t>
  </si>
  <si>
    <t>0002.17D8.68BE5</t>
  </si>
  <si>
    <t>172.16.8.3</t>
  </si>
  <si>
    <t xml:space="preserve">Florida DHCP Servicer </t>
  </si>
  <si>
    <t>FL</t>
  </si>
  <si>
    <t xml:space="preserve">Router </t>
  </si>
  <si>
    <t>3560-24PS</t>
  </si>
  <si>
    <t>192.0.0.2</t>
  </si>
  <si>
    <t>130.2.0.2</t>
  </si>
  <si>
    <t>192.0.0.3</t>
  </si>
  <si>
    <t>130.0.0.2</t>
  </si>
  <si>
    <t>00E0.8f81.96C7</t>
  </si>
  <si>
    <t>192.1.0.3</t>
  </si>
  <si>
    <t>172.16.8.6</t>
  </si>
  <si>
    <t>Vendor</t>
  </si>
  <si>
    <t>Cisco</t>
  </si>
  <si>
    <t xml:space="preserve">Microsoft </t>
  </si>
  <si>
    <t>Subnet Mask</t>
  </si>
  <si>
    <t>Category</t>
  </si>
  <si>
    <t xml:space="preserve">Network Devices </t>
  </si>
  <si>
    <t xml:space="preserve">VLAN # </t>
  </si>
  <si>
    <t>172.16.8.1</t>
  </si>
  <si>
    <t>172.16.15.254</t>
  </si>
  <si>
    <t>255.255.254.0</t>
  </si>
  <si>
    <t>172.16.16.1</t>
  </si>
  <si>
    <t>172.16.23.254</t>
  </si>
  <si>
    <t>First Useable IP</t>
  </si>
  <si>
    <t>Last Useable IP</t>
  </si>
  <si>
    <t>WAP</t>
  </si>
  <si>
    <t>172.16.32.1</t>
  </si>
  <si>
    <t>172.16.40.1</t>
  </si>
  <si>
    <t>172.16.48.1</t>
  </si>
  <si>
    <t>172.16.56.1</t>
  </si>
  <si>
    <t>172.16.64.1</t>
  </si>
  <si>
    <t>PC's</t>
  </si>
  <si>
    <t>IOT TV's</t>
  </si>
  <si>
    <t xml:space="preserve">Guest Lines </t>
  </si>
  <si>
    <t>172.16.24.1</t>
  </si>
  <si>
    <t>172.16.31.254</t>
  </si>
  <si>
    <t>172.16.39.254</t>
  </si>
  <si>
    <t>172.16.47.254</t>
  </si>
  <si>
    <t>172.16.55.254</t>
  </si>
  <si>
    <t>172.16.63.254</t>
  </si>
  <si>
    <t>172.16.71.254</t>
  </si>
  <si>
    <t>HQ</t>
  </si>
  <si>
    <t>Servers</t>
  </si>
  <si>
    <t>IT Admin</t>
  </si>
  <si>
    <t>HR</t>
  </si>
  <si>
    <t>Accounting</t>
  </si>
  <si>
    <t>Marketin g</t>
  </si>
  <si>
    <t xml:space="preserve">Managemetn </t>
  </si>
  <si>
    <t xml:space="preserve">Cameras </t>
  </si>
  <si>
    <t xml:space="preserve">Guestlines </t>
  </si>
  <si>
    <t>192.0.0.1</t>
  </si>
  <si>
    <t>192.1.0.1</t>
  </si>
  <si>
    <t>192.2.0.1</t>
  </si>
  <si>
    <t>192.3.0.1</t>
  </si>
  <si>
    <t>192.0.255.254</t>
  </si>
  <si>
    <t>192.1.255.254</t>
  </si>
  <si>
    <t>192.2.255.254</t>
  </si>
  <si>
    <t>192.3.255.254</t>
  </si>
  <si>
    <t>255.255.128</t>
  </si>
  <si>
    <t>10.0.0.1</t>
  </si>
  <si>
    <t>10.0.128.1</t>
  </si>
  <si>
    <t>10.1.0.1</t>
  </si>
  <si>
    <t>10.1.128.1</t>
  </si>
  <si>
    <t>10.2.0.1</t>
  </si>
  <si>
    <t>10.2.128.1</t>
  </si>
  <si>
    <t>10.3.0.1</t>
  </si>
  <si>
    <t>10.0.127.254</t>
  </si>
  <si>
    <t>10.0.255.254</t>
  </si>
  <si>
    <t>10.1.255.254</t>
  </si>
  <si>
    <t>10.2.255.254</t>
  </si>
  <si>
    <t>10.1.127.254</t>
  </si>
  <si>
    <t>10.2.127.254</t>
  </si>
  <si>
    <t>10.3.127.254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</si>
</sst>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1" fillId="0" borderId="0" xfId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.dell.com/sites/csdocuments/Shared-Content_data-Sheets_Documents/en/aa/PowerEdge_R740_R740xd_Technical_Guide.pdf" TargetMode="External"/><Relationship Id="rId3" Type="http://schemas.openxmlformats.org/officeDocument/2006/relationships/hyperlink" Target="https://www.amazon.com/All-New-Toshiba-43LF421U21-43-inch-Smart/dp/B086VR9J8Q/ref=sr_1_4?dchild=1&amp;keywords=smart+tv&amp;qid=1625474001&amp;sr=8-4" TargetMode="External"/><Relationship Id="rId7" Type="http://schemas.openxmlformats.org/officeDocument/2006/relationships/hyperlink" Target="https://i.dell.com/sites/csdocuments/Product_Docs/en/poweredgespecsheet.pdf" TargetMode="External"/><Relationship Id="rId2" Type="http://schemas.openxmlformats.org/officeDocument/2006/relationships/hyperlink" Target="https://www.cisco.com/c/en/us/products/collateral/collaboration-endpoints/unified-ip-phone-8800-series/datasheet-c78-734730.html" TargetMode="External"/><Relationship Id="rId1" Type="http://schemas.openxmlformats.org/officeDocument/2006/relationships/hyperlink" Target="https://www.ebay.com/itm/265152012485?epid=9032156459&amp;hash=item3dbc4aa0c5:g:0t0AAOSwVV1goryW" TargetMode="External"/><Relationship Id="rId6" Type="http://schemas.openxmlformats.org/officeDocument/2006/relationships/hyperlink" Target="https://www.dell.com/en-us/work/shop/enterprise-products/r740xd-2ru-server-intel/spd/poweredge-r740xd/pe_r740xd_12238_vi_vp?configurationid=484cc2bb-a12c-447e-9a2e-5084980b6847" TargetMode="External"/><Relationship Id="rId5" Type="http://schemas.openxmlformats.org/officeDocument/2006/relationships/hyperlink" Target="https://www.cisco.com/c/en/us/products/collateral/wireless/3700-series-access-point/data_sheet_c78-729421.html" TargetMode="External"/><Relationship Id="rId4" Type="http://schemas.openxmlformats.org/officeDocument/2006/relationships/hyperlink" Target="https://www.ebay.com/itm/293873553294?hash=item446c3a8f8e:g:pHwAAOSwWBRg3JmS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DE05-FDA8-445B-AFD6-AF7804AF69A5}">
  <dimension ref="A1:I26"/>
  <sheetViews>
    <sheetView workbookViewId="0">
      <selection activeCell="F29" sqref="F29"/>
    </sheetView>
  </sheetViews>
  <sheetFormatPr defaultRowHeight="15" x14ac:dyDescent="0.25"/>
  <cols>
    <col min="1" max="1" width="16.7109375" customWidth="1"/>
    <col min="2" max="2" width="15.42578125" customWidth="1"/>
    <col min="3" max="3" width="14" customWidth="1"/>
    <col min="5" max="5" width="14.140625" customWidth="1"/>
    <col min="6" max="6" width="15.7109375" customWidth="1"/>
    <col min="7" max="7" width="19.5703125" customWidth="1"/>
    <col min="8" max="8" width="14.5703125" customWidth="1"/>
  </cols>
  <sheetData>
    <row r="1" spans="1:9" x14ac:dyDescent="0.25">
      <c r="A1" t="s">
        <v>47</v>
      </c>
      <c r="B1" t="s">
        <v>48</v>
      </c>
      <c r="C1" t="s">
        <v>53</v>
      </c>
      <c r="D1" t="s">
        <v>104</v>
      </c>
      <c r="E1" t="s">
        <v>49</v>
      </c>
      <c r="F1" t="s">
        <v>50</v>
      </c>
      <c r="G1" t="s">
        <v>58</v>
      </c>
      <c r="H1" t="s">
        <v>57</v>
      </c>
      <c r="I1" t="s">
        <v>51</v>
      </c>
    </row>
    <row r="2" spans="1:9" x14ac:dyDescent="0.25">
      <c r="A2" t="s">
        <v>54</v>
      </c>
      <c r="B2" t="s">
        <v>52</v>
      </c>
      <c r="C2" t="s">
        <v>55</v>
      </c>
      <c r="D2" t="s">
        <v>105</v>
      </c>
      <c r="E2" t="s">
        <v>56</v>
      </c>
      <c r="F2" t="s">
        <v>23</v>
      </c>
      <c r="G2" t="s">
        <v>59</v>
      </c>
      <c r="H2" t="s">
        <v>60</v>
      </c>
      <c r="I2" t="s">
        <v>23</v>
      </c>
    </row>
    <row r="3" spans="1:9" x14ac:dyDescent="0.25">
      <c r="A3" t="s">
        <v>70</v>
      </c>
      <c r="B3" t="s">
        <v>52</v>
      </c>
      <c r="C3" t="s">
        <v>61</v>
      </c>
      <c r="D3" t="s">
        <v>105</v>
      </c>
      <c r="E3" t="s">
        <v>62</v>
      </c>
      <c r="F3" t="s">
        <v>23</v>
      </c>
      <c r="G3" t="s">
        <v>23</v>
      </c>
      <c r="H3" t="s">
        <v>23</v>
      </c>
      <c r="I3" t="s">
        <v>23</v>
      </c>
    </row>
    <row r="4" spans="1:9" x14ac:dyDescent="0.25">
      <c r="A4" t="s">
        <v>63</v>
      </c>
      <c r="B4" t="s">
        <v>52</v>
      </c>
      <c r="C4" t="s">
        <v>61</v>
      </c>
      <c r="D4" t="s">
        <v>105</v>
      </c>
      <c r="E4" t="s">
        <v>62</v>
      </c>
      <c r="F4" t="s">
        <v>23</v>
      </c>
      <c r="G4" t="s">
        <v>23</v>
      </c>
      <c r="H4" t="s">
        <v>23</v>
      </c>
      <c r="I4" t="s">
        <v>23</v>
      </c>
    </row>
    <row r="5" spans="1:9" x14ac:dyDescent="0.25">
      <c r="A5" t="s">
        <v>64</v>
      </c>
      <c r="B5" t="s">
        <v>52</v>
      </c>
      <c r="C5" t="s">
        <v>15</v>
      </c>
      <c r="D5" t="s">
        <v>106</v>
      </c>
      <c r="E5" t="s">
        <v>23</v>
      </c>
      <c r="F5" t="s">
        <v>65</v>
      </c>
      <c r="G5" t="s">
        <v>66</v>
      </c>
      <c r="H5" t="s">
        <v>23</v>
      </c>
      <c r="I5" t="s">
        <v>23</v>
      </c>
    </row>
    <row r="7" spans="1:9" x14ac:dyDescent="0.25">
      <c r="A7" t="s">
        <v>68</v>
      </c>
      <c r="B7" t="s">
        <v>67</v>
      </c>
      <c r="C7" t="s">
        <v>55</v>
      </c>
      <c r="D7" t="s">
        <v>105</v>
      </c>
      <c r="E7" t="s">
        <v>56</v>
      </c>
      <c r="F7" t="s">
        <v>23</v>
      </c>
      <c r="G7" t="s">
        <v>100</v>
      </c>
      <c r="H7" t="s">
        <v>103</v>
      </c>
      <c r="I7" t="s">
        <v>23</v>
      </c>
    </row>
    <row r="8" spans="1:9" x14ac:dyDescent="0.25">
      <c r="A8" t="s">
        <v>69</v>
      </c>
      <c r="B8" t="s">
        <v>67</v>
      </c>
      <c r="C8" t="s">
        <v>61</v>
      </c>
      <c r="D8" t="s">
        <v>105</v>
      </c>
      <c r="E8" t="s">
        <v>82</v>
      </c>
      <c r="F8" t="s">
        <v>23</v>
      </c>
      <c r="G8" t="s">
        <v>23</v>
      </c>
      <c r="H8" t="s">
        <v>23</v>
      </c>
      <c r="I8" t="s">
        <v>23</v>
      </c>
    </row>
    <row r="9" spans="1:9" x14ac:dyDescent="0.25">
      <c r="A9" t="s">
        <v>71</v>
      </c>
      <c r="B9" t="s">
        <v>67</v>
      </c>
      <c r="C9" t="s">
        <v>61</v>
      </c>
      <c r="D9" t="s">
        <v>105</v>
      </c>
      <c r="E9" t="s">
        <v>82</v>
      </c>
      <c r="F9" t="s">
        <v>23</v>
      </c>
      <c r="G9" t="s">
        <v>23</v>
      </c>
      <c r="H9" t="s">
        <v>23</v>
      </c>
      <c r="I9" t="s">
        <v>23</v>
      </c>
    </row>
    <row r="10" spans="1:9" x14ac:dyDescent="0.25">
      <c r="A10" t="s">
        <v>72</v>
      </c>
      <c r="B10" t="s">
        <v>67</v>
      </c>
      <c r="C10" t="s">
        <v>61</v>
      </c>
      <c r="D10" t="s">
        <v>105</v>
      </c>
      <c r="E10" t="s">
        <v>62</v>
      </c>
      <c r="F10" t="s">
        <v>23</v>
      </c>
      <c r="G10" t="s">
        <v>23</v>
      </c>
      <c r="H10" t="s">
        <v>23</v>
      </c>
      <c r="I10" t="s">
        <v>23</v>
      </c>
    </row>
    <row r="11" spans="1:9" x14ac:dyDescent="0.25">
      <c r="A11" t="s">
        <v>73</v>
      </c>
      <c r="B11" t="s">
        <v>67</v>
      </c>
      <c r="C11" t="s">
        <v>61</v>
      </c>
      <c r="D11" t="s">
        <v>105</v>
      </c>
      <c r="E11" t="s">
        <v>62</v>
      </c>
      <c r="F11" t="s">
        <v>23</v>
      </c>
      <c r="G11" t="s">
        <v>23</v>
      </c>
      <c r="H11" t="s">
        <v>23</v>
      </c>
      <c r="I11" t="s">
        <v>23</v>
      </c>
    </row>
    <row r="12" spans="1:9" x14ac:dyDescent="0.25">
      <c r="A12" t="s">
        <v>74</v>
      </c>
      <c r="B12" t="s">
        <v>67</v>
      </c>
      <c r="C12" t="s">
        <v>80</v>
      </c>
      <c r="D12" t="s">
        <v>106</v>
      </c>
      <c r="E12" t="s">
        <v>23</v>
      </c>
      <c r="F12" t="s">
        <v>91</v>
      </c>
      <c r="G12" t="s">
        <v>92</v>
      </c>
      <c r="H12" t="s">
        <v>23</v>
      </c>
      <c r="I12" t="s">
        <v>23</v>
      </c>
    </row>
    <row r="13" spans="1:9" x14ac:dyDescent="0.25">
      <c r="A13" t="s">
        <v>75</v>
      </c>
      <c r="B13" t="s">
        <v>67</v>
      </c>
      <c r="C13" t="s">
        <v>79</v>
      </c>
      <c r="D13" t="s">
        <v>105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</row>
    <row r="14" spans="1:9" x14ac:dyDescent="0.25">
      <c r="A14" t="s">
        <v>76</v>
      </c>
      <c r="B14" t="s">
        <v>67</v>
      </c>
      <c r="C14" t="s">
        <v>81</v>
      </c>
      <c r="D14" t="s">
        <v>105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</row>
    <row r="15" spans="1:9" x14ac:dyDescent="0.25">
      <c r="A15" t="s">
        <v>77</v>
      </c>
      <c r="B15" t="s">
        <v>67</v>
      </c>
      <c r="C15" t="s">
        <v>81</v>
      </c>
      <c r="D15" t="s">
        <v>105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</row>
    <row r="16" spans="1:9" x14ac:dyDescent="0.25">
      <c r="A16" t="s">
        <v>78</v>
      </c>
      <c r="B16" t="s">
        <v>67</v>
      </c>
      <c r="C16" t="s">
        <v>81</v>
      </c>
      <c r="D16" t="s">
        <v>105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</row>
    <row r="18" spans="1:9" x14ac:dyDescent="0.25">
      <c r="A18" t="s">
        <v>83</v>
      </c>
      <c r="B18" t="s">
        <v>94</v>
      </c>
      <c r="C18" t="s">
        <v>55</v>
      </c>
      <c r="D18" t="s">
        <v>105</v>
      </c>
      <c r="E18" t="s">
        <v>56</v>
      </c>
      <c r="F18" t="s">
        <v>23</v>
      </c>
      <c r="G18" t="s">
        <v>97</v>
      </c>
      <c r="H18" t="s">
        <v>98</v>
      </c>
      <c r="I18" t="s">
        <v>23</v>
      </c>
    </row>
    <row r="19" spans="1:9" x14ac:dyDescent="0.25">
      <c r="A19" t="s">
        <v>84</v>
      </c>
      <c r="B19" t="s">
        <v>94</v>
      </c>
      <c r="C19" t="s">
        <v>95</v>
      </c>
      <c r="D19" t="s">
        <v>105</v>
      </c>
      <c r="E19" t="s">
        <v>56</v>
      </c>
      <c r="F19" t="s">
        <v>23</v>
      </c>
      <c r="G19" t="s">
        <v>99</v>
      </c>
      <c r="H19" t="s">
        <v>100</v>
      </c>
      <c r="I19" t="s">
        <v>23</v>
      </c>
    </row>
    <row r="20" spans="1:9" x14ac:dyDescent="0.25">
      <c r="A20" t="s">
        <v>85</v>
      </c>
      <c r="B20" t="s">
        <v>94</v>
      </c>
      <c r="C20" t="s">
        <v>61</v>
      </c>
      <c r="D20" t="s">
        <v>105</v>
      </c>
      <c r="E20" t="s">
        <v>96</v>
      </c>
      <c r="F20" t="s">
        <v>23</v>
      </c>
      <c r="G20" t="s">
        <v>23</v>
      </c>
      <c r="H20" t="s">
        <v>23</v>
      </c>
      <c r="I20" t="s">
        <v>23</v>
      </c>
    </row>
    <row r="21" spans="1:9" x14ac:dyDescent="0.25">
      <c r="A21" t="s">
        <v>86</v>
      </c>
      <c r="B21" t="s">
        <v>94</v>
      </c>
      <c r="C21" t="s">
        <v>61</v>
      </c>
      <c r="D21" t="s">
        <v>105</v>
      </c>
      <c r="E21" t="s">
        <v>96</v>
      </c>
      <c r="F21" t="s">
        <v>23</v>
      </c>
      <c r="G21" t="s">
        <v>23</v>
      </c>
      <c r="H21" t="s">
        <v>23</v>
      </c>
      <c r="I21" t="s">
        <v>23</v>
      </c>
    </row>
    <row r="22" spans="1:9" x14ac:dyDescent="0.25">
      <c r="A22" t="s">
        <v>93</v>
      </c>
      <c r="B22" t="s">
        <v>94</v>
      </c>
      <c r="C22" t="s">
        <v>15</v>
      </c>
      <c r="D22" t="s">
        <v>106</v>
      </c>
      <c r="E22" t="s">
        <v>23</v>
      </c>
      <c r="F22" t="s">
        <v>101</v>
      </c>
      <c r="G22" t="s">
        <v>102</v>
      </c>
      <c r="H22" t="s">
        <v>23</v>
      </c>
      <c r="I22" t="s">
        <v>23</v>
      </c>
    </row>
    <row r="23" spans="1:9" x14ac:dyDescent="0.25">
      <c r="A23" t="s">
        <v>87</v>
      </c>
      <c r="B23" t="s">
        <v>94</v>
      </c>
      <c r="C23" t="s">
        <v>61</v>
      </c>
      <c r="D23" t="s">
        <v>105</v>
      </c>
      <c r="E23" t="s">
        <v>62</v>
      </c>
      <c r="F23" t="s">
        <v>23</v>
      </c>
      <c r="G23" t="s">
        <v>23</v>
      </c>
      <c r="H23" t="s">
        <v>23</v>
      </c>
      <c r="I23" t="s">
        <v>23</v>
      </c>
    </row>
    <row r="24" spans="1:9" x14ac:dyDescent="0.25">
      <c r="A24" t="s">
        <v>88</v>
      </c>
      <c r="B24" t="s">
        <v>94</v>
      </c>
      <c r="C24" t="s">
        <v>61</v>
      </c>
      <c r="D24" t="s">
        <v>105</v>
      </c>
      <c r="E24" t="s">
        <v>62</v>
      </c>
      <c r="F24" t="s">
        <v>23</v>
      </c>
      <c r="G24" t="s">
        <v>23</v>
      </c>
      <c r="H24" t="s">
        <v>23</v>
      </c>
      <c r="I24" t="s">
        <v>23</v>
      </c>
    </row>
    <row r="25" spans="1:9" x14ac:dyDescent="0.25">
      <c r="A25" t="s">
        <v>89</v>
      </c>
      <c r="B25" t="s">
        <v>94</v>
      </c>
      <c r="C25" t="s">
        <v>61</v>
      </c>
      <c r="D25" t="s">
        <v>105</v>
      </c>
      <c r="E25" t="s">
        <v>62</v>
      </c>
      <c r="F25" t="s">
        <v>23</v>
      </c>
      <c r="G25" t="s">
        <v>23</v>
      </c>
      <c r="H25" t="s">
        <v>23</v>
      </c>
      <c r="I25" t="s">
        <v>23</v>
      </c>
    </row>
    <row r="26" spans="1:9" x14ac:dyDescent="0.25">
      <c r="A26" t="s">
        <v>90</v>
      </c>
      <c r="B26" t="s">
        <v>94</v>
      </c>
      <c r="C26" t="s">
        <v>79</v>
      </c>
      <c r="D26" t="s">
        <v>105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01CB-02BC-42FF-94FC-1D90F619EAF6}">
  <dimension ref="A1:F22"/>
  <sheetViews>
    <sheetView workbookViewId="0">
      <selection activeCell="P18" sqref="P18"/>
    </sheetView>
  </sheetViews>
  <sheetFormatPr defaultRowHeight="15" x14ac:dyDescent="0.25"/>
  <cols>
    <col min="2" max="2" width="17" customWidth="1"/>
    <col min="3" max="3" width="16.5703125" customWidth="1"/>
    <col min="4" max="4" width="17.42578125" customWidth="1"/>
    <col min="5" max="5" width="22.28515625" customWidth="1"/>
    <col min="6" max="6" width="17.7109375" customWidth="1"/>
  </cols>
  <sheetData>
    <row r="1" spans="1:6" x14ac:dyDescent="0.25">
      <c r="A1" t="s">
        <v>48</v>
      </c>
      <c r="B1" t="s">
        <v>108</v>
      </c>
      <c r="C1" t="s">
        <v>110</v>
      </c>
      <c r="D1" t="s">
        <v>116</v>
      </c>
      <c r="E1" t="s">
        <v>117</v>
      </c>
      <c r="F1" t="s">
        <v>107</v>
      </c>
    </row>
    <row r="2" spans="1:6" x14ac:dyDescent="0.25">
      <c r="A2" t="s">
        <v>134</v>
      </c>
      <c r="B2" t="s">
        <v>109</v>
      </c>
      <c r="C2">
        <v>1</v>
      </c>
      <c r="D2" t="s">
        <v>152</v>
      </c>
      <c r="E2" t="s">
        <v>159</v>
      </c>
      <c r="F2" t="s">
        <v>151</v>
      </c>
    </row>
    <row r="3" spans="1:6" x14ac:dyDescent="0.25">
      <c r="A3" t="s">
        <v>134</v>
      </c>
      <c r="B3" t="s">
        <v>135</v>
      </c>
      <c r="C3">
        <v>2</v>
      </c>
      <c r="D3" t="s">
        <v>153</v>
      </c>
      <c r="E3" t="s">
        <v>160</v>
      </c>
      <c r="F3" t="s">
        <v>151</v>
      </c>
    </row>
    <row r="4" spans="1:6" x14ac:dyDescent="0.25">
      <c r="A4" t="s">
        <v>134</v>
      </c>
      <c r="B4" t="s">
        <v>136</v>
      </c>
      <c r="C4">
        <v>3</v>
      </c>
      <c r="D4" t="s">
        <v>154</v>
      </c>
      <c r="E4" t="s">
        <v>163</v>
      </c>
      <c r="F4" t="s">
        <v>151</v>
      </c>
    </row>
    <row r="5" spans="1:6" x14ac:dyDescent="0.25">
      <c r="A5" t="s">
        <v>134</v>
      </c>
      <c r="B5" t="s">
        <v>137</v>
      </c>
      <c r="C5">
        <v>4</v>
      </c>
      <c r="D5" t="s">
        <v>155</v>
      </c>
      <c r="E5" t="s">
        <v>161</v>
      </c>
      <c r="F5" t="s">
        <v>151</v>
      </c>
    </row>
    <row r="6" spans="1:6" x14ac:dyDescent="0.25">
      <c r="A6" t="s">
        <v>134</v>
      </c>
      <c r="B6" t="s">
        <v>138</v>
      </c>
      <c r="C6">
        <v>5</v>
      </c>
      <c r="D6" t="s">
        <v>156</v>
      </c>
      <c r="E6" t="s">
        <v>164</v>
      </c>
      <c r="F6" t="s">
        <v>151</v>
      </c>
    </row>
    <row r="7" spans="1:6" x14ac:dyDescent="0.25">
      <c r="A7" t="s">
        <v>134</v>
      </c>
      <c r="B7" t="s">
        <v>139</v>
      </c>
      <c r="C7">
        <v>6</v>
      </c>
      <c r="D7" t="s">
        <v>157</v>
      </c>
      <c r="E7" t="s">
        <v>162</v>
      </c>
      <c r="F7" t="s">
        <v>151</v>
      </c>
    </row>
    <row r="8" spans="1:6" x14ac:dyDescent="0.25">
      <c r="A8" t="s">
        <v>134</v>
      </c>
      <c r="B8" t="s">
        <v>140</v>
      </c>
      <c r="C8">
        <v>7</v>
      </c>
      <c r="D8" t="s">
        <v>158</v>
      </c>
      <c r="E8" t="s">
        <v>165</v>
      </c>
      <c r="F8" t="s">
        <v>151</v>
      </c>
    </row>
    <row r="10" spans="1:6" x14ac:dyDescent="0.25">
      <c r="A10" t="s">
        <v>67</v>
      </c>
      <c r="B10" t="s">
        <v>109</v>
      </c>
      <c r="C10">
        <v>1</v>
      </c>
      <c r="D10" t="s">
        <v>111</v>
      </c>
      <c r="E10" t="s">
        <v>112</v>
      </c>
      <c r="F10" t="s">
        <v>113</v>
      </c>
    </row>
    <row r="11" spans="1:6" x14ac:dyDescent="0.25">
      <c r="A11" t="s">
        <v>67</v>
      </c>
      <c r="B11" t="s">
        <v>8</v>
      </c>
      <c r="C11">
        <v>6</v>
      </c>
      <c r="D11" t="s">
        <v>114</v>
      </c>
      <c r="E11" t="s">
        <v>115</v>
      </c>
      <c r="F11" t="s">
        <v>113</v>
      </c>
    </row>
    <row r="12" spans="1:6" x14ac:dyDescent="0.25">
      <c r="A12" t="s">
        <v>67</v>
      </c>
      <c r="B12" t="s">
        <v>118</v>
      </c>
      <c r="C12">
        <v>7</v>
      </c>
      <c r="D12" t="s">
        <v>127</v>
      </c>
      <c r="E12" t="s">
        <v>128</v>
      </c>
      <c r="F12" t="s">
        <v>113</v>
      </c>
    </row>
    <row r="13" spans="1:6" x14ac:dyDescent="0.25">
      <c r="A13" t="s">
        <v>67</v>
      </c>
      <c r="B13" t="s">
        <v>124</v>
      </c>
      <c r="C13">
        <v>8</v>
      </c>
      <c r="D13" t="s">
        <v>119</v>
      </c>
      <c r="E13" t="s">
        <v>129</v>
      </c>
      <c r="F13" t="s">
        <v>113</v>
      </c>
    </row>
    <row r="14" spans="1:6" x14ac:dyDescent="0.25">
      <c r="A14" t="s">
        <v>67</v>
      </c>
      <c r="B14" t="s">
        <v>125</v>
      </c>
      <c r="C14">
        <v>9</v>
      </c>
      <c r="D14" t="s">
        <v>120</v>
      </c>
      <c r="E14" t="s">
        <v>130</v>
      </c>
      <c r="F14" t="s">
        <v>113</v>
      </c>
    </row>
    <row r="15" spans="1:6" x14ac:dyDescent="0.25">
      <c r="A15" t="s">
        <v>67</v>
      </c>
      <c r="B15" t="s">
        <v>12</v>
      </c>
      <c r="C15">
        <v>10</v>
      </c>
      <c r="D15" t="s">
        <v>121</v>
      </c>
      <c r="E15" t="s">
        <v>131</v>
      </c>
      <c r="F15" t="s">
        <v>113</v>
      </c>
    </row>
    <row r="16" spans="1:6" x14ac:dyDescent="0.25">
      <c r="A16" t="s">
        <v>67</v>
      </c>
      <c r="B16" t="s">
        <v>126</v>
      </c>
      <c r="C16">
        <v>11</v>
      </c>
      <c r="D16" t="s">
        <v>122</v>
      </c>
      <c r="E16" t="s">
        <v>132</v>
      </c>
      <c r="F16" t="s">
        <v>113</v>
      </c>
    </row>
    <row r="17" spans="1:6" x14ac:dyDescent="0.25">
      <c r="A17" t="s">
        <v>67</v>
      </c>
      <c r="B17" t="s">
        <v>135</v>
      </c>
      <c r="C17">
        <v>12</v>
      </c>
      <c r="D17" t="s">
        <v>123</v>
      </c>
      <c r="E17" t="s">
        <v>133</v>
      </c>
      <c r="F17" t="s">
        <v>113</v>
      </c>
    </row>
    <row r="19" spans="1:6" x14ac:dyDescent="0.25">
      <c r="A19" t="s">
        <v>94</v>
      </c>
      <c r="B19" t="s">
        <v>109</v>
      </c>
      <c r="C19">
        <v>1</v>
      </c>
      <c r="D19" t="s">
        <v>143</v>
      </c>
      <c r="E19" t="s">
        <v>147</v>
      </c>
      <c r="F19" t="s">
        <v>113</v>
      </c>
    </row>
    <row r="20" spans="1:6" x14ac:dyDescent="0.25">
      <c r="A20" t="s">
        <v>94</v>
      </c>
      <c r="B20" t="s">
        <v>15</v>
      </c>
      <c r="C20">
        <v>2</v>
      </c>
      <c r="D20" t="s">
        <v>144</v>
      </c>
      <c r="E20" t="s">
        <v>148</v>
      </c>
      <c r="F20" t="s">
        <v>113</v>
      </c>
    </row>
    <row r="21" spans="1:6" x14ac:dyDescent="0.25">
      <c r="A21" t="s">
        <v>94</v>
      </c>
      <c r="B21" t="s">
        <v>141</v>
      </c>
      <c r="C21">
        <v>3</v>
      </c>
      <c r="D21" t="s">
        <v>145</v>
      </c>
      <c r="E21" t="s">
        <v>149</v>
      </c>
      <c r="F21" t="s">
        <v>113</v>
      </c>
    </row>
    <row r="22" spans="1:6" x14ac:dyDescent="0.25">
      <c r="A22" t="s">
        <v>94</v>
      </c>
      <c r="B22" t="s">
        <v>142</v>
      </c>
      <c r="C22">
        <v>4</v>
      </c>
      <c r="D22" t="s">
        <v>146</v>
      </c>
      <c r="E22" t="s">
        <v>150</v>
      </c>
      <c r="F22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820D-4156-494D-A0AF-0472D82CBC9F}">
  <dimension ref="A1:J9"/>
  <sheetViews>
    <sheetView workbookViewId="0">
      <selection activeCell="E21" sqref="E21"/>
    </sheetView>
  </sheetViews>
  <sheetFormatPr defaultRowHeight="15" x14ac:dyDescent="0.25"/>
  <sheetData>
    <row r="1" spans="1:10" x14ac:dyDescent="0.25">
      <c r="A1" t="s">
        <v>16</v>
      </c>
      <c r="J1" t="s">
        <v>17</v>
      </c>
    </row>
    <row r="2" spans="1:10" x14ac:dyDescent="0.25">
      <c r="A2" t="s">
        <v>0</v>
      </c>
      <c r="J2" t="s">
        <v>18</v>
      </c>
    </row>
    <row r="3" spans="1:10" x14ac:dyDescent="0.25">
      <c r="A3" t="s">
        <v>1</v>
      </c>
      <c r="J3" t="s">
        <v>19</v>
      </c>
    </row>
    <row r="4" spans="1:10" x14ac:dyDescent="0.25">
      <c r="A4" t="s">
        <v>2</v>
      </c>
    </row>
    <row r="5" spans="1:10" x14ac:dyDescent="0.25">
      <c r="A5" t="s">
        <v>3</v>
      </c>
    </row>
    <row r="6" spans="1:10" x14ac:dyDescent="0.25">
      <c r="A6" t="s">
        <v>4</v>
      </c>
    </row>
    <row r="7" spans="1:10" x14ac:dyDescent="0.25">
      <c r="A7" t="s">
        <v>5</v>
      </c>
    </row>
    <row r="8" spans="1:10" x14ac:dyDescent="0.25">
      <c r="A8" t="s">
        <v>6</v>
      </c>
      <c r="I8" t="s">
        <v>44</v>
      </c>
    </row>
    <row r="9" spans="1:10" x14ac:dyDescent="0.25">
      <c r="A9" t="s">
        <v>7</v>
      </c>
      <c r="I9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A180-F3C7-474B-A625-573AB60744E8}">
  <dimension ref="A1:M12"/>
  <sheetViews>
    <sheetView tabSelected="1" workbookViewId="0">
      <selection activeCell="G14" sqref="G14"/>
    </sheetView>
  </sheetViews>
  <sheetFormatPr defaultRowHeight="15" x14ac:dyDescent="0.25"/>
  <sheetData>
    <row r="1" spans="1:13" x14ac:dyDescent="0.25">
      <c r="A1" t="s">
        <v>21</v>
      </c>
      <c r="B1" t="s">
        <v>22</v>
      </c>
      <c r="C1" t="s">
        <v>28</v>
      </c>
      <c r="D1" t="s">
        <v>24</v>
      </c>
      <c r="E1" t="s">
        <v>26</v>
      </c>
      <c r="F1" t="s">
        <v>30</v>
      </c>
      <c r="G1" t="s">
        <v>31</v>
      </c>
      <c r="H1" t="s">
        <v>32</v>
      </c>
      <c r="I1" t="s">
        <v>35</v>
      </c>
      <c r="L1" t="s">
        <v>36</v>
      </c>
    </row>
    <row r="2" spans="1:13" x14ac:dyDescent="0.25">
      <c r="A2" t="s">
        <v>8</v>
      </c>
      <c r="B2">
        <v>58</v>
      </c>
      <c r="C2" t="s">
        <v>29</v>
      </c>
      <c r="D2" s="2" t="s">
        <v>25</v>
      </c>
      <c r="E2" s="2" t="s">
        <v>27</v>
      </c>
      <c r="F2" t="s">
        <v>23</v>
      </c>
      <c r="G2" t="s">
        <v>23</v>
      </c>
      <c r="H2" s="3">
        <v>59</v>
      </c>
      <c r="I2" s="3">
        <f>SUM(B2*H2)</f>
        <v>3422</v>
      </c>
      <c r="L2" s="3">
        <f>SUM(I2:I100)</f>
        <v>21018.300000000003</v>
      </c>
    </row>
    <row r="3" spans="1:13" x14ac:dyDescent="0.25">
      <c r="A3" t="s">
        <v>9</v>
      </c>
      <c r="B3">
        <v>48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  <row r="4" spans="1:13" x14ac:dyDescent="0.25">
      <c r="A4" t="s">
        <v>10</v>
      </c>
      <c r="B4">
        <v>48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</row>
    <row r="5" spans="1:13" x14ac:dyDescent="0.25">
      <c r="A5" t="s">
        <v>11</v>
      </c>
      <c r="B5">
        <v>53</v>
      </c>
      <c r="C5" t="s">
        <v>34</v>
      </c>
      <c r="D5" s="2" t="s">
        <v>33</v>
      </c>
      <c r="E5" t="s">
        <v>23</v>
      </c>
      <c r="F5" t="s">
        <v>23</v>
      </c>
      <c r="G5" t="s">
        <v>23</v>
      </c>
      <c r="H5" s="1">
        <v>269.99</v>
      </c>
      <c r="I5" s="3">
        <f>SUM(B5*H5)</f>
        <v>14309.470000000001</v>
      </c>
    </row>
    <row r="6" spans="1:13" x14ac:dyDescent="0.25">
      <c r="A6" t="s">
        <v>12</v>
      </c>
      <c r="B6">
        <v>20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</row>
    <row r="7" spans="1:13" x14ac:dyDescent="0.25">
      <c r="A7" t="s">
        <v>13</v>
      </c>
      <c r="B7">
        <v>17</v>
      </c>
      <c r="C7" t="s">
        <v>39</v>
      </c>
      <c r="D7" s="2" t="s">
        <v>37</v>
      </c>
      <c r="E7" s="2" t="s">
        <v>38</v>
      </c>
      <c r="F7" t="s">
        <v>23</v>
      </c>
      <c r="G7" t="s">
        <v>23</v>
      </c>
      <c r="H7" s="1">
        <v>33.99</v>
      </c>
      <c r="I7" s="3">
        <f>SUM(B7*H7)</f>
        <v>577.83000000000004</v>
      </c>
    </row>
    <row r="8" spans="1:13" x14ac:dyDescent="0.25">
      <c r="A8" t="s">
        <v>14</v>
      </c>
      <c r="B8">
        <v>6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</row>
    <row r="9" spans="1:13" x14ac:dyDescent="0.25">
      <c r="A9" t="s">
        <v>15</v>
      </c>
      <c r="B9">
        <v>1</v>
      </c>
      <c r="C9" t="s">
        <v>41</v>
      </c>
      <c r="D9" s="2" t="s">
        <v>40</v>
      </c>
      <c r="E9" s="2" t="s">
        <v>42</v>
      </c>
      <c r="F9" s="2" t="s">
        <v>43</v>
      </c>
      <c r="G9" t="s">
        <v>23</v>
      </c>
      <c r="H9" s="3">
        <v>2709</v>
      </c>
      <c r="I9" s="3">
        <f>SUM(B9*H9)</f>
        <v>2709</v>
      </c>
    </row>
    <row r="10" spans="1:13" x14ac:dyDescent="0.25">
      <c r="A10" t="s">
        <v>20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</row>
    <row r="11" spans="1:13" x14ac:dyDescent="0.25">
      <c r="M11" t="s">
        <v>44</v>
      </c>
    </row>
    <row r="12" spans="1:13" x14ac:dyDescent="0.25">
      <c r="M12" t="s">
        <v>46</v>
      </c>
    </row>
  </sheetData>
  <hyperlinks>
    <hyperlink ref="D2" r:id="rId1" display="https://www.ebay.com/itm/265152012485?epid=9032156459&amp;hash=item3dbc4aa0c5:g:0t0AAOSwVV1goryW" xr:uid="{D559FCF3-BD3B-4447-9E67-BBDF3854578A}"/>
    <hyperlink ref="E2" r:id="rId2" display="https://www.cisco.com/c/en/us/products/collateral/collaboration-endpoints/unified-ip-phone-8800-series/datasheet-c78-734730.html" xr:uid="{E3C19B72-C213-4C6E-BC22-DF6BD2231DF4}"/>
    <hyperlink ref="D5" r:id="rId3" display="https://www.amazon.com/All-New-Toshiba-43LF421U21-43-inch-Smart/dp/B086VR9J8Q/ref=sr_1_4?dchild=1&amp;keywords=smart+tv&amp;qid=1625474001&amp;sr=8-4" xr:uid="{ECAEE571-52DC-4292-B51B-F9AC0905BBEF}"/>
    <hyperlink ref="D7" r:id="rId4" display="https://www.ebay.com/itm/293873553294?hash=item446c3a8f8e:g:pHwAAOSwWBRg3JmS" xr:uid="{15B921EA-B28C-4E03-BDF3-ECDDB1753AE4}"/>
    <hyperlink ref="E7" r:id="rId5" display="https://www.cisco.com/c/en/us/products/collateral/wireless/3700-series-access-point/data_sheet_c78-729421.html" xr:uid="{FF43A0EC-32FE-48C7-962D-6B0D0FAAED9A}"/>
    <hyperlink ref="D9" r:id="rId6" display="https://www.dell.com/en-us/work/shop/enterprise-products/r740xd-2ru-server-intel/spd/poweredge-r740xd/pe_r740xd_12238_vi_vp?configurationid=484cc2bb-a12c-447e-9a2e-5084980b6847" xr:uid="{5DEEFCE9-0A6F-405B-8429-D914F4391356}"/>
    <hyperlink ref="E9" r:id="rId7" display="https://i.dell.com/sites/csdocuments/Product_Docs/en/poweredgespecsheet.pdf" xr:uid="{E10EAE7C-1447-4E34-A149-0665F6FB89FB}"/>
    <hyperlink ref="F9" r:id="rId8" xr:uid="{C709FF57-0338-4B80-8005-BB30A29EB4E3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Networking Devices </vt:lpstr>
      <vt:lpstr>Vlans </vt:lpstr>
      <vt:lpstr>Server Applications</vt:lpstr>
      <vt:lpstr>Physical Devices &amp; Cables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2021-07-04T21:16:26Z</dcterms:created>
  <dcterms:modified xsi:type="dcterms:W3CDTF">2021-10-31T10:48:50Z</dcterms:modified>
</cp:coreProperties>
</file>